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anma\OneDrive\Desktop\EXCEL-AI\DAY04\"/>
    </mc:Choice>
  </mc:AlternateContent>
  <xr:revisionPtr revIDLastSave="0" documentId="8_{A0CF0421-5B4C-4830-B770-90FA5CE496A3}" xr6:coauthVersionLast="47" xr6:coauthVersionMax="47" xr10:uidLastSave="{00000000-0000-0000-0000-000000000000}"/>
  <bookViews>
    <workbookView xWindow="-108" yWindow="-108" windowWidth="23256" windowHeight="13896" xr2:uid="{709F2586-5765-4CD5-981F-BBDE1608DDFD}"/>
  </bookViews>
  <sheets>
    <sheet name="PO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4" i="1" l="1"/>
  <c r="J32" i="1"/>
  <c r="J31" i="1"/>
  <c r="J30" i="1"/>
  <c r="J29" i="1"/>
  <c r="I5" i="1"/>
  <c r="H5" i="1"/>
  <c r="G5" i="1"/>
</calcChain>
</file>

<file path=xl/sharedStrings.xml><?xml version="1.0" encoding="utf-8"?>
<sst xmlns="http://schemas.openxmlformats.org/spreadsheetml/2006/main" count="27" uniqueCount="27">
  <si>
    <t>KOTTU KADE  POS</t>
  </si>
  <si>
    <t xml:space="preserve">  KOTTU</t>
  </si>
  <si>
    <t xml:space="preserve">  RICE DISHES</t>
  </si>
  <si>
    <t xml:space="preserve">  NOODLES</t>
  </si>
  <si>
    <t xml:space="preserve">  DEVILLED</t>
  </si>
  <si>
    <t xml:space="preserve">  BEVERAGES</t>
  </si>
  <si>
    <t xml:space="preserve">  EXTRAS</t>
  </si>
  <si>
    <t xml:space="preserve">  ACTIONS</t>
  </si>
  <si>
    <t>KOTTU KADE RESTAURANT</t>
  </si>
  <si>
    <t>No. 42, Galle Road, Colombo 03  |  Tel: 011-234-5678</t>
  </si>
  <si>
    <t>Invoice No:</t>
  </si>
  <si>
    <t>Date:</t>
  </si>
  <si>
    <t>Time:</t>
  </si>
  <si>
    <t>Table:</t>
  </si>
  <si>
    <t>T-01</t>
  </si>
  <si>
    <t>DESCRIPTION</t>
  </si>
  <si>
    <t>QTY</t>
  </si>
  <si>
    <t>UNIT PRICE</t>
  </si>
  <si>
    <t>TOTAL</t>
  </si>
  <si>
    <t>SUBTOTAL:</t>
  </si>
  <si>
    <t>Discount %:</t>
  </si>
  <si>
    <t>DISCOUNT:</t>
  </si>
  <si>
    <t>SERVICE (10%):</t>
  </si>
  <si>
    <t>NET TOTAL (RS):</t>
  </si>
  <si>
    <t>CASH GIVEN:</t>
  </si>
  <si>
    <t>CHANGE:</t>
  </si>
  <si>
    <t>Thank you for visiting!  wifi: kottu@free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</si>
</sst>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s.&quot;\ #,##0.00"/>
  </numFmts>
  <fonts count="13" x14ac:knownFonts="1">
    <font>
      <sz val="11"/>
      <color theme="1"/>
      <name val="Aptos Narrow"/>
      <family val="2"/>
      <scheme val="minor"/>
    </font>
    <font>
      <b/>
      <sz val="13"/>
      <color rgb="FF1673F9"/>
      <name val="Aptos Narrow"/>
      <family val="2"/>
      <scheme val="minor"/>
    </font>
    <font>
      <b/>
      <sz val="8"/>
      <color rgb="FFAAAAAA"/>
      <name val="Aptos Narrow"/>
      <family val="2"/>
      <scheme val="minor"/>
    </font>
    <font>
      <b/>
      <sz val="13"/>
      <color rgb="FF2E1E1E"/>
      <name val="Aptos Narrow"/>
      <family val="2"/>
      <scheme val="minor"/>
    </font>
    <font>
      <sz val="7"/>
      <color rgb="FF666666"/>
      <name val="Aptos Narrow"/>
      <family val="2"/>
      <scheme val="minor"/>
    </font>
    <font>
      <b/>
      <sz val="7"/>
      <color rgb="FF444444"/>
      <name val="Aptos Narrow"/>
      <family val="2"/>
      <scheme val="minor"/>
    </font>
    <font>
      <sz val="7"/>
      <color rgb="FF555555"/>
      <name val="Aptos Narrow"/>
      <family val="2"/>
      <scheme val="minor"/>
    </font>
    <font>
      <b/>
      <sz val="8"/>
      <color rgb="FF2E1E1E"/>
      <name val="Aptos Narrow"/>
      <family val="2"/>
      <scheme val="minor"/>
    </font>
    <font>
      <sz val="8"/>
      <color rgb="FF555555"/>
      <name val="Aptos Narrow"/>
      <family val="2"/>
      <scheme val="minor"/>
    </font>
    <font>
      <b/>
      <sz val="10"/>
      <color rgb="FF1673F9"/>
      <name val="Aptos Narrow"/>
      <family val="2"/>
      <scheme val="minor"/>
    </font>
    <font>
      <b/>
      <sz val="11"/>
      <color rgb="FF245715"/>
      <name val="Aptos Narrow"/>
      <family val="2"/>
      <scheme val="minor"/>
    </font>
    <font>
      <b/>
      <sz val="8"/>
      <color rgb="FF333333"/>
      <name val="Aptos Narrow"/>
      <family val="2"/>
      <scheme val="minor"/>
    </font>
    <font>
      <sz val="7"/>
      <color rgb="FF8888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2E1E1E"/>
        <bgColor indexed="64"/>
      </patternFill>
    </fill>
    <fill>
      <patternFill patternType="solid">
        <fgColor rgb="FF1673F9"/>
        <bgColor indexed="64"/>
      </patternFill>
    </fill>
    <fill>
      <patternFill patternType="solid">
        <fgColor rgb="FF1E1212"/>
        <bgColor indexed="64"/>
      </patternFill>
    </fill>
    <fill>
      <patternFill patternType="solid">
        <fgColor rgb="FF3E2A2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C4F9FF"/>
        <bgColor indexed="64"/>
      </patternFill>
    </fill>
    <fill>
      <patternFill patternType="solid">
        <fgColor rgb="FFD8F0D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rgb="FF1673F9"/>
      </bottom>
      <diagonal/>
    </border>
    <border>
      <left/>
      <right/>
      <top/>
      <bottom style="medium">
        <color rgb="FF1673F9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5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6" borderId="0" xfId="0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4" fillId="6" borderId="0" xfId="0" applyFont="1" applyFill="1" applyAlignment="1">
      <alignment horizontal="center"/>
    </xf>
    <xf numFmtId="0" fontId="5" fillId="6" borderId="0" xfId="0" applyFont="1" applyFill="1"/>
    <xf numFmtId="0" fontId="6" fillId="6" borderId="0" xfId="0" applyFont="1" applyFill="1"/>
    <xf numFmtId="0" fontId="0" fillId="7" borderId="0" xfId="0" applyFill="1"/>
    <xf numFmtId="0" fontId="7" fillId="8" borderId="2" xfId="0" applyFont="1" applyFill="1" applyBorder="1" applyAlignment="1">
      <alignment horizontal="center"/>
    </xf>
    <xf numFmtId="0" fontId="8" fillId="6" borderId="0" xfId="0" applyFont="1" applyFill="1"/>
    <xf numFmtId="0" fontId="0" fillId="9" borderId="1" xfId="0" applyFill="1" applyBorder="1"/>
    <xf numFmtId="0" fontId="11" fillId="6" borderId="0" xfId="0" applyFont="1" applyFill="1" applyAlignment="1">
      <alignment horizontal="right"/>
    </xf>
    <xf numFmtId="164" fontId="0" fillId="6" borderId="0" xfId="0" applyNumberFormat="1" applyFill="1"/>
    <xf numFmtId="0" fontId="11" fillId="2" borderId="0" xfId="0" applyFont="1" applyFill="1" applyAlignment="1">
      <alignment horizontal="right"/>
    </xf>
    <xf numFmtId="164" fontId="9" fillId="2" borderId="0" xfId="0" applyNumberFormat="1" applyFont="1" applyFill="1"/>
    <xf numFmtId="164" fontId="0" fillId="10" borderId="0" xfId="0" applyNumberFormat="1" applyFill="1"/>
    <xf numFmtId="164" fontId="10" fillId="6" borderId="0" xfId="0" applyNumberFormat="1" applyFont="1" applyFill="1"/>
    <xf numFmtId="0" fontId="12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22860</xdr:rowOff>
    </xdr:from>
    <xdr:to>
      <xdr:col>1</xdr:col>
      <xdr:colOff>855980</xdr:colOff>
      <xdr:row>4</xdr:row>
      <xdr:rowOff>137160</xdr:rowOff>
    </xdr:to>
    <xdr:sp macro="AddChickenKottu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97905A8-7B31-9231-5FBF-B3FB50E9FFB2}"/>
            </a:ext>
          </a:extLst>
        </xdr:cNvPr>
        <xdr:cNvSpPr/>
      </xdr:nvSpPr>
      <xdr:spPr>
        <a:xfrm>
          <a:off x="101600" y="457200"/>
          <a:ext cx="914400" cy="304800"/>
        </a:xfrm>
        <a:prstGeom prst="roundRect">
          <a:avLst/>
        </a:prstGeom>
        <a:solidFill>
          <a:srgbClr val="5252E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Chicken Kottu</a:t>
          </a:r>
        </a:p>
      </xdr:txBody>
    </xdr:sp>
    <xdr:clientData/>
  </xdr:twoCellAnchor>
  <xdr:twoCellAnchor>
    <xdr:from>
      <xdr:col>1</xdr:col>
      <xdr:colOff>881380</xdr:colOff>
      <xdr:row>2</xdr:row>
      <xdr:rowOff>22860</xdr:rowOff>
    </xdr:from>
    <xdr:to>
      <xdr:col>2</xdr:col>
      <xdr:colOff>812800</xdr:colOff>
      <xdr:row>4</xdr:row>
      <xdr:rowOff>137160</xdr:rowOff>
    </xdr:to>
    <xdr:sp macro="AddEggKott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65E086-E718-66F3-23B1-3A5F4C2FE2C5}"/>
            </a:ext>
          </a:extLst>
        </xdr:cNvPr>
        <xdr:cNvSpPr/>
      </xdr:nvSpPr>
      <xdr:spPr>
        <a:xfrm>
          <a:off x="1041400" y="457200"/>
          <a:ext cx="914400" cy="304800"/>
        </a:xfrm>
        <a:prstGeom prst="roundRect">
          <a:avLst/>
        </a:prstGeom>
        <a:solidFill>
          <a:srgbClr val="5252E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Egg Kottu</a:t>
          </a:r>
        </a:p>
      </xdr:txBody>
    </xdr:sp>
    <xdr:clientData/>
  </xdr:twoCellAnchor>
  <xdr:twoCellAnchor>
    <xdr:from>
      <xdr:col>2</xdr:col>
      <xdr:colOff>838200</xdr:colOff>
      <xdr:row>2</xdr:row>
      <xdr:rowOff>22860</xdr:rowOff>
    </xdr:from>
    <xdr:to>
      <xdr:col>3</xdr:col>
      <xdr:colOff>769620</xdr:colOff>
      <xdr:row>4</xdr:row>
      <xdr:rowOff>137160</xdr:rowOff>
    </xdr:to>
    <xdr:sp macro="AddVegKottu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1E08422-9940-44C5-4175-57792CED1372}"/>
            </a:ext>
          </a:extLst>
        </xdr:cNvPr>
        <xdr:cNvSpPr/>
      </xdr:nvSpPr>
      <xdr:spPr>
        <a:xfrm>
          <a:off x="1981200" y="457200"/>
          <a:ext cx="914400" cy="304800"/>
        </a:xfrm>
        <a:prstGeom prst="roundRect">
          <a:avLst/>
        </a:prstGeom>
        <a:solidFill>
          <a:srgbClr val="5252E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Veg Kottu</a:t>
          </a:r>
        </a:p>
      </xdr:txBody>
    </xdr:sp>
    <xdr:clientData/>
  </xdr:twoCellAnchor>
  <xdr:twoCellAnchor>
    <xdr:from>
      <xdr:col>3</xdr:col>
      <xdr:colOff>795020</xdr:colOff>
      <xdr:row>2</xdr:row>
      <xdr:rowOff>22860</xdr:rowOff>
    </xdr:from>
    <xdr:to>
      <xdr:col>4</xdr:col>
      <xdr:colOff>726440</xdr:colOff>
      <xdr:row>4</xdr:row>
      <xdr:rowOff>137160</xdr:rowOff>
    </xdr:to>
    <xdr:sp macro="AddFishKottu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1933139-55D5-7458-A471-61DB0D21B0C8}"/>
            </a:ext>
          </a:extLst>
        </xdr:cNvPr>
        <xdr:cNvSpPr/>
      </xdr:nvSpPr>
      <xdr:spPr>
        <a:xfrm>
          <a:off x="2921000" y="457200"/>
          <a:ext cx="914400" cy="304800"/>
        </a:xfrm>
        <a:prstGeom prst="roundRect">
          <a:avLst/>
        </a:prstGeom>
        <a:solidFill>
          <a:srgbClr val="5252E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Fish Kottu</a:t>
          </a:r>
        </a:p>
      </xdr:txBody>
    </xdr:sp>
    <xdr:clientData/>
  </xdr:twoCellAnchor>
  <xdr:twoCellAnchor>
    <xdr:from>
      <xdr:col>0</xdr:col>
      <xdr:colOff>101600</xdr:colOff>
      <xdr:row>6</xdr:row>
      <xdr:rowOff>5080</xdr:rowOff>
    </xdr:from>
    <xdr:to>
      <xdr:col>1</xdr:col>
      <xdr:colOff>855980</xdr:colOff>
      <xdr:row>7</xdr:row>
      <xdr:rowOff>111760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F50DEC2-70D1-1BE8-3E79-F33DBC7BDBCC}"/>
            </a:ext>
          </a:extLst>
        </xdr:cNvPr>
        <xdr:cNvSpPr/>
      </xdr:nvSpPr>
      <xdr:spPr>
        <a:xfrm>
          <a:off x="101600" y="812800"/>
          <a:ext cx="914400" cy="304800"/>
        </a:xfrm>
        <a:prstGeom prst="roundRect">
          <a:avLst/>
        </a:prstGeom>
        <a:solidFill>
          <a:srgbClr val="1A1A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1A1A4A"/>
              </a:solidFill>
            </a:rPr>
            <a:t>-- -- --</a:t>
          </a:r>
        </a:p>
      </xdr:txBody>
    </xdr:sp>
    <xdr:clientData/>
  </xdr:twoCellAnchor>
  <xdr:twoCellAnchor>
    <xdr:from>
      <xdr:col>0</xdr:col>
      <xdr:colOff>101600</xdr:colOff>
      <xdr:row>7</xdr:row>
      <xdr:rowOff>60960</xdr:rowOff>
    </xdr:from>
    <xdr:to>
      <xdr:col>1</xdr:col>
      <xdr:colOff>855980</xdr:colOff>
      <xdr:row>8</xdr:row>
      <xdr:rowOff>175260</xdr:rowOff>
    </xdr:to>
    <xdr:sp macro="AddEggRic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DB198CD-025C-95B3-7D4A-F62098FF15E9}"/>
            </a:ext>
          </a:extLst>
        </xdr:cNvPr>
        <xdr:cNvSpPr/>
      </xdr:nvSpPr>
      <xdr:spPr>
        <a:xfrm>
          <a:off x="101600" y="1066800"/>
          <a:ext cx="914400" cy="304800"/>
        </a:xfrm>
        <a:prstGeom prst="roundRect">
          <a:avLst/>
        </a:prstGeom>
        <a:solidFill>
          <a:srgbClr val="10A4E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111111"/>
              </a:solidFill>
            </a:rPr>
            <a:t>Egg Rice</a:t>
          </a:r>
        </a:p>
      </xdr:txBody>
    </xdr:sp>
    <xdr:clientData/>
  </xdr:twoCellAnchor>
  <xdr:twoCellAnchor>
    <xdr:from>
      <xdr:col>1</xdr:col>
      <xdr:colOff>881380</xdr:colOff>
      <xdr:row>7</xdr:row>
      <xdr:rowOff>60960</xdr:rowOff>
    </xdr:from>
    <xdr:to>
      <xdr:col>2</xdr:col>
      <xdr:colOff>812800</xdr:colOff>
      <xdr:row>8</xdr:row>
      <xdr:rowOff>175260</xdr:rowOff>
    </xdr:to>
    <xdr:sp macro="AddFriedRic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6C683D5-AD54-B9F8-566F-A1AD705B0128}"/>
            </a:ext>
          </a:extLst>
        </xdr:cNvPr>
        <xdr:cNvSpPr/>
      </xdr:nvSpPr>
      <xdr:spPr>
        <a:xfrm>
          <a:off x="1041400" y="1066800"/>
          <a:ext cx="914400" cy="304800"/>
        </a:xfrm>
        <a:prstGeom prst="roundRect">
          <a:avLst/>
        </a:prstGeom>
        <a:solidFill>
          <a:srgbClr val="10A4E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111111"/>
              </a:solidFill>
            </a:rPr>
            <a:t>Fried Rice</a:t>
          </a:r>
        </a:p>
      </xdr:txBody>
    </xdr:sp>
    <xdr:clientData/>
  </xdr:twoCellAnchor>
  <xdr:twoCellAnchor>
    <xdr:from>
      <xdr:col>2</xdr:col>
      <xdr:colOff>838200</xdr:colOff>
      <xdr:row>7</xdr:row>
      <xdr:rowOff>60960</xdr:rowOff>
    </xdr:from>
    <xdr:to>
      <xdr:col>3</xdr:col>
      <xdr:colOff>769620</xdr:colOff>
      <xdr:row>8</xdr:row>
      <xdr:rowOff>175260</xdr:rowOff>
    </xdr:to>
    <xdr:sp macro="AddNasiGoreng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E764D53-EA27-9CBD-FC0E-5C40E52600BF}"/>
            </a:ext>
          </a:extLst>
        </xdr:cNvPr>
        <xdr:cNvSpPr/>
      </xdr:nvSpPr>
      <xdr:spPr>
        <a:xfrm>
          <a:off x="1981200" y="1066800"/>
          <a:ext cx="914400" cy="304800"/>
        </a:xfrm>
        <a:prstGeom prst="roundRect">
          <a:avLst/>
        </a:prstGeom>
        <a:solidFill>
          <a:srgbClr val="10A4E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111111"/>
              </a:solidFill>
            </a:rPr>
            <a:t>Nasi Goreng</a:t>
          </a:r>
        </a:p>
      </xdr:txBody>
    </xdr:sp>
    <xdr:clientData/>
  </xdr:twoCellAnchor>
  <xdr:twoCellAnchor>
    <xdr:from>
      <xdr:col>3</xdr:col>
      <xdr:colOff>795020</xdr:colOff>
      <xdr:row>7</xdr:row>
      <xdr:rowOff>60960</xdr:rowOff>
    </xdr:from>
    <xdr:to>
      <xdr:col>4</xdr:col>
      <xdr:colOff>726440</xdr:colOff>
      <xdr:row>8</xdr:row>
      <xdr:rowOff>175260</xdr:rowOff>
    </xdr:to>
    <xdr:sp macro="AddBiriyani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4541CB4-968F-542F-EFA9-F60AD513A98B}"/>
            </a:ext>
          </a:extLst>
        </xdr:cNvPr>
        <xdr:cNvSpPr/>
      </xdr:nvSpPr>
      <xdr:spPr>
        <a:xfrm>
          <a:off x="2921000" y="1066800"/>
          <a:ext cx="914400" cy="304800"/>
        </a:xfrm>
        <a:prstGeom prst="roundRect">
          <a:avLst/>
        </a:prstGeom>
        <a:solidFill>
          <a:srgbClr val="10A4E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111111"/>
              </a:solidFill>
            </a:rPr>
            <a:t>Biriyani</a:t>
          </a:r>
        </a:p>
      </xdr:txBody>
    </xdr:sp>
    <xdr:clientData/>
  </xdr:twoCellAnchor>
  <xdr:twoCellAnchor>
    <xdr:from>
      <xdr:col>0</xdr:col>
      <xdr:colOff>101600</xdr:colOff>
      <xdr:row>11</xdr:row>
      <xdr:rowOff>86360</xdr:rowOff>
    </xdr:from>
    <xdr:to>
      <xdr:col>1</xdr:col>
      <xdr:colOff>855980</xdr:colOff>
      <xdr:row>13</xdr:row>
      <xdr:rowOff>10160</xdr:rowOff>
    </xdr:to>
    <xdr:sp macro="AddChowMein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455B6995-7186-76C6-BE66-13C7AA99FE50}"/>
            </a:ext>
          </a:extLst>
        </xdr:cNvPr>
        <xdr:cNvSpPr/>
      </xdr:nvSpPr>
      <xdr:spPr>
        <a:xfrm>
          <a:off x="101600" y="1854200"/>
          <a:ext cx="914400" cy="304800"/>
        </a:xfrm>
        <a:prstGeom prst="roundRect">
          <a:avLst/>
        </a:prstGeom>
        <a:solidFill>
          <a:srgbClr val="4E8A2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Chow Mein</a:t>
          </a:r>
        </a:p>
      </xdr:txBody>
    </xdr:sp>
    <xdr:clientData/>
  </xdr:twoCellAnchor>
  <xdr:twoCellAnchor>
    <xdr:from>
      <xdr:col>1</xdr:col>
      <xdr:colOff>881380</xdr:colOff>
      <xdr:row>11</xdr:row>
      <xdr:rowOff>86360</xdr:rowOff>
    </xdr:from>
    <xdr:to>
      <xdr:col>2</xdr:col>
      <xdr:colOff>812800</xdr:colOff>
      <xdr:row>13</xdr:row>
      <xdr:rowOff>10160</xdr:rowOff>
    </xdr:to>
    <xdr:sp macro="AddFriedNoodles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FE4596E-D024-443D-9006-022CEA80CC91}"/>
            </a:ext>
          </a:extLst>
        </xdr:cNvPr>
        <xdr:cNvSpPr/>
      </xdr:nvSpPr>
      <xdr:spPr>
        <a:xfrm>
          <a:off x="1041400" y="1854200"/>
          <a:ext cx="914400" cy="304800"/>
        </a:xfrm>
        <a:prstGeom prst="roundRect">
          <a:avLst/>
        </a:prstGeom>
        <a:solidFill>
          <a:srgbClr val="4E8A2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Fried Noodles</a:t>
          </a:r>
        </a:p>
      </xdr:txBody>
    </xdr:sp>
    <xdr:clientData/>
  </xdr:twoCellAnchor>
  <xdr:twoCellAnchor>
    <xdr:from>
      <xdr:col>2</xdr:col>
      <xdr:colOff>838200</xdr:colOff>
      <xdr:row>11</xdr:row>
      <xdr:rowOff>86360</xdr:rowOff>
    </xdr:from>
    <xdr:to>
      <xdr:col>3</xdr:col>
      <xdr:colOff>769620</xdr:colOff>
      <xdr:row>13</xdr:row>
      <xdr:rowOff>10160</xdr:rowOff>
    </xdr:to>
    <xdr:sp macro="AddPadThai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4C1CDB6-B1D1-159A-326A-D1DEA5B4C1AC}"/>
            </a:ext>
          </a:extLst>
        </xdr:cNvPr>
        <xdr:cNvSpPr/>
      </xdr:nvSpPr>
      <xdr:spPr>
        <a:xfrm>
          <a:off x="1981200" y="1854200"/>
          <a:ext cx="914400" cy="304800"/>
        </a:xfrm>
        <a:prstGeom prst="roundRect">
          <a:avLst/>
        </a:prstGeom>
        <a:solidFill>
          <a:srgbClr val="4E8A2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Pad Thai</a:t>
          </a:r>
        </a:p>
      </xdr:txBody>
    </xdr:sp>
    <xdr:clientData/>
  </xdr:twoCellAnchor>
  <xdr:twoCellAnchor>
    <xdr:from>
      <xdr:col>3</xdr:col>
      <xdr:colOff>795020</xdr:colOff>
      <xdr:row>11</xdr:row>
      <xdr:rowOff>86360</xdr:rowOff>
    </xdr:from>
    <xdr:to>
      <xdr:col>4</xdr:col>
      <xdr:colOff>726440</xdr:colOff>
      <xdr:row>13</xdr:row>
      <xdr:rowOff>10160</xdr:rowOff>
    </xdr:to>
    <xdr:sp macro="AddRicePaste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4158AE8F-6C96-908C-234E-7811B6732F24}"/>
            </a:ext>
          </a:extLst>
        </xdr:cNvPr>
        <xdr:cNvSpPr/>
      </xdr:nvSpPr>
      <xdr:spPr>
        <a:xfrm>
          <a:off x="2921000" y="1854200"/>
          <a:ext cx="914400" cy="304800"/>
        </a:xfrm>
        <a:prstGeom prst="roundRect">
          <a:avLst/>
        </a:prstGeom>
        <a:solidFill>
          <a:srgbClr val="4E8A2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Rice Paste</a:t>
          </a:r>
        </a:p>
      </xdr:txBody>
    </xdr:sp>
    <xdr:clientData/>
  </xdr:twoCellAnchor>
  <xdr:twoCellAnchor>
    <xdr:from>
      <xdr:col>0</xdr:col>
      <xdr:colOff>101600</xdr:colOff>
      <xdr:row>15</xdr:row>
      <xdr:rowOff>111760</xdr:rowOff>
    </xdr:from>
    <xdr:to>
      <xdr:col>1</xdr:col>
      <xdr:colOff>855980</xdr:colOff>
      <xdr:row>17</xdr:row>
      <xdr:rowOff>35560</xdr:rowOff>
    </xdr:to>
    <xdr:sp macro="AddDevChicken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4D19433A-7CE7-C29D-1529-B4F8CC971049}"/>
            </a:ext>
          </a:extLst>
        </xdr:cNvPr>
        <xdr:cNvSpPr/>
      </xdr:nvSpPr>
      <xdr:spPr>
        <a:xfrm>
          <a:off x="101600" y="2641600"/>
          <a:ext cx="914400" cy="304800"/>
        </a:xfrm>
        <a:prstGeom prst="roundRect">
          <a:avLst/>
        </a:prstGeom>
        <a:solidFill>
          <a:srgbClr val="5522C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Dev. Chicken</a:t>
          </a:r>
        </a:p>
      </xdr:txBody>
    </xdr:sp>
    <xdr:clientData/>
  </xdr:twoCellAnchor>
  <xdr:twoCellAnchor>
    <xdr:from>
      <xdr:col>1</xdr:col>
      <xdr:colOff>881380</xdr:colOff>
      <xdr:row>15</xdr:row>
      <xdr:rowOff>111760</xdr:rowOff>
    </xdr:from>
    <xdr:to>
      <xdr:col>2</xdr:col>
      <xdr:colOff>812800</xdr:colOff>
      <xdr:row>17</xdr:row>
      <xdr:rowOff>35560</xdr:rowOff>
    </xdr:to>
    <xdr:sp macro="AddDevPork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1AA2C4DD-C05E-18DC-01BF-B4C59E769A6F}"/>
            </a:ext>
          </a:extLst>
        </xdr:cNvPr>
        <xdr:cNvSpPr/>
      </xdr:nvSpPr>
      <xdr:spPr>
        <a:xfrm>
          <a:off x="1041400" y="2641600"/>
          <a:ext cx="914400" cy="304800"/>
        </a:xfrm>
        <a:prstGeom prst="roundRect">
          <a:avLst/>
        </a:prstGeom>
        <a:solidFill>
          <a:srgbClr val="5522C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Dev. Pork</a:t>
          </a:r>
        </a:p>
      </xdr:txBody>
    </xdr:sp>
    <xdr:clientData/>
  </xdr:twoCellAnchor>
  <xdr:twoCellAnchor>
    <xdr:from>
      <xdr:col>2</xdr:col>
      <xdr:colOff>838200</xdr:colOff>
      <xdr:row>15</xdr:row>
      <xdr:rowOff>111760</xdr:rowOff>
    </xdr:from>
    <xdr:to>
      <xdr:col>3</xdr:col>
      <xdr:colOff>769620</xdr:colOff>
      <xdr:row>17</xdr:row>
      <xdr:rowOff>35560</xdr:rowOff>
    </xdr:to>
    <xdr:sp macro="AddDevSquid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95B4EC1D-D4A4-A214-1230-2F2A50EBD06E}"/>
            </a:ext>
          </a:extLst>
        </xdr:cNvPr>
        <xdr:cNvSpPr/>
      </xdr:nvSpPr>
      <xdr:spPr>
        <a:xfrm>
          <a:off x="1981200" y="2641600"/>
          <a:ext cx="914400" cy="304800"/>
        </a:xfrm>
        <a:prstGeom prst="roundRect">
          <a:avLst/>
        </a:prstGeom>
        <a:solidFill>
          <a:srgbClr val="5522C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Dev. Squid</a:t>
          </a:r>
        </a:p>
      </xdr:txBody>
    </xdr:sp>
    <xdr:clientData/>
  </xdr:twoCellAnchor>
  <xdr:twoCellAnchor>
    <xdr:from>
      <xdr:col>3</xdr:col>
      <xdr:colOff>795020</xdr:colOff>
      <xdr:row>15</xdr:row>
      <xdr:rowOff>111760</xdr:rowOff>
    </xdr:from>
    <xdr:to>
      <xdr:col>4</xdr:col>
      <xdr:colOff>726440</xdr:colOff>
      <xdr:row>17</xdr:row>
      <xdr:rowOff>35560</xdr:rowOff>
    </xdr:to>
    <xdr:sp macro="AddDevVeg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BF5A2066-42E8-8499-0F4F-AC027C9D0810}"/>
            </a:ext>
          </a:extLst>
        </xdr:cNvPr>
        <xdr:cNvSpPr/>
      </xdr:nvSpPr>
      <xdr:spPr>
        <a:xfrm>
          <a:off x="2921000" y="2641600"/>
          <a:ext cx="914400" cy="304800"/>
        </a:xfrm>
        <a:prstGeom prst="roundRect">
          <a:avLst/>
        </a:prstGeom>
        <a:solidFill>
          <a:srgbClr val="5522C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Dev. Veg</a:t>
          </a:r>
        </a:p>
      </xdr:txBody>
    </xdr:sp>
    <xdr:clientData/>
  </xdr:twoCellAnchor>
  <xdr:twoCellAnchor>
    <xdr:from>
      <xdr:col>0</xdr:col>
      <xdr:colOff>101600</xdr:colOff>
      <xdr:row>19</xdr:row>
      <xdr:rowOff>137160</xdr:rowOff>
    </xdr:from>
    <xdr:to>
      <xdr:col>1</xdr:col>
      <xdr:colOff>855980</xdr:colOff>
      <xdr:row>21</xdr:row>
      <xdr:rowOff>60960</xdr:rowOff>
    </xdr:to>
    <xdr:sp macro="AddCoke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6CBEF783-4D11-6B92-7F94-A2A897CBC69E}"/>
            </a:ext>
          </a:extLst>
        </xdr:cNvPr>
        <xdr:cNvSpPr/>
      </xdr:nvSpPr>
      <xdr:spPr>
        <a:xfrm>
          <a:off x="101600" y="3429000"/>
          <a:ext cx="914400" cy="304800"/>
        </a:xfrm>
        <a:prstGeom prst="roundRect">
          <a:avLst/>
        </a:prstGeom>
        <a:solidFill>
          <a:srgbClr val="CC8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Coke</a:t>
          </a:r>
        </a:p>
      </xdr:txBody>
    </xdr:sp>
    <xdr:clientData/>
  </xdr:twoCellAnchor>
  <xdr:twoCellAnchor>
    <xdr:from>
      <xdr:col>1</xdr:col>
      <xdr:colOff>881380</xdr:colOff>
      <xdr:row>19</xdr:row>
      <xdr:rowOff>137160</xdr:rowOff>
    </xdr:from>
    <xdr:to>
      <xdr:col>2</xdr:col>
      <xdr:colOff>812800</xdr:colOff>
      <xdr:row>21</xdr:row>
      <xdr:rowOff>60960</xdr:rowOff>
    </xdr:to>
    <xdr:sp macro="AddWater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D5A14926-5F74-6E79-C870-1BFA8EFDCC2D}"/>
            </a:ext>
          </a:extLst>
        </xdr:cNvPr>
        <xdr:cNvSpPr/>
      </xdr:nvSpPr>
      <xdr:spPr>
        <a:xfrm>
          <a:off x="1041400" y="3429000"/>
          <a:ext cx="914400" cy="304800"/>
        </a:xfrm>
        <a:prstGeom prst="roundRect">
          <a:avLst/>
        </a:prstGeom>
        <a:solidFill>
          <a:srgbClr val="CC8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Water</a:t>
          </a:r>
        </a:p>
      </xdr:txBody>
    </xdr:sp>
    <xdr:clientData/>
  </xdr:twoCellAnchor>
  <xdr:twoCellAnchor>
    <xdr:from>
      <xdr:col>2</xdr:col>
      <xdr:colOff>838200</xdr:colOff>
      <xdr:row>19</xdr:row>
      <xdr:rowOff>137160</xdr:rowOff>
    </xdr:from>
    <xdr:to>
      <xdr:col>3</xdr:col>
      <xdr:colOff>769620</xdr:colOff>
      <xdr:row>21</xdr:row>
      <xdr:rowOff>60960</xdr:rowOff>
    </xdr:to>
    <xdr:sp macro="AddJuice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E9B10CFB-941C-1227-B69F-F4EA08A5DB25}"/>
            </a:ext>
          </a:extLst>
        </xdr:cNvPr>
        <xdr:cNvSpPr/>
      </xdr:nvSpPr>
      <xdr:spPr>
        <a:xfrm>
          <a:off x="1981200" y="3429000"/>
          <a:ext cx="914400" cy="304800"/>
        </a:xfrm>
        <a:prstGeom prst="roundRect">
          <a:avLst/>
        </a:prstGeom>
        <a:solidFill>
          <a:srgbClr val="CC8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Juice</a:t>
          </a:r>
        </a:p>
      </xdr:txBody>
    </xdr:sp>
    <xdr:clientData/>
  </xdr:twoCellAnchor>
  <xdr:twoCellAnchor>
    <xdr:from>
      <xdr:col>3</xdr:col>
      <xdr:colOff>795020</xdr:colOff>
      <xdr:row>19</xdr:row>
      <xdr:rowOff>137160</xdr:rowOff>
    </xdr:from>
    <xdr:to>
      <xdr:col>4</xdr:col>
      <xdr:colOff>726440</xdr:colOff>
      <xdr:row>21</xdr:row>
      <xdr:rowOff>60960</xdr:rowOff>
    </xdr:to>
    <xdr:sp macro="AddTea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14E22DAB-4F0F-DC4C-57F3-9D7F06FE7801}"/>
            </a:ext>
          </a:extLst>
        </xdr:cNvPr>
        <xdr:cNvSpPr/>
      </xdr:nvSpPr>
      <xdr:spPr>
        <a:xfrm>
          <a:off x="2921000" y="3429000"/>
          <a:ext cx="914400" cy="304800"/>
        </a:xfrm>
        <a:prstGeom prst="roundRect">
          <a:avLst/>
        </a:prstGeom>
        <a:solidFill>
          <a:srgbClr val="CC8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Tea</a:t>
          </a:r>
        </a:p>
      </xdr:txBody>
    </xdr:sp>
    <xdr:clientData/>
  </xdr:twoCellAnchor>
  <xdr:twoCellAnchor>
    <xdr:from>
      <xdr:col>0</xdr:col>
      <xdr:colOff>101600</xdr:colOff>
      <xdr:row>23</xdr:row>
      <xdr:rowOff>162560</xdr:rowOff>
    </xdr:from>
    <xdr:to>
      <xdr:col>1</xdr:col>
      <xdr:colOff>855980</xdr:colOff>
      <xdr:row>25</xdr:row>
      <xdr:rowOff>86360</xdr:rowOff>
    </xdr:to>
    <xdr:sp macro="AddPapad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B5E05E8A-1C98-6860-1AC9-0F594D7BEAD0}"/>
            </a:ext>
          </a:extLst>
        </xdr:cNvPr>
        <xdr:cNvSpPr/>
      </xdr:nvSpPr>
      <xdr:spPr>
        <a:xfrm>
          <a:off x="101600" y="4216400"/>
          <a:ext cx="914400" cy="304800"/>
        </a:xfrm>
        <a:prstGeom prst="roundRect">
          <a:avLst/>
        </a:prstGeom>
        <a:solidFill>
          <a:srgbClr val="A03F7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Papad</a:t>
          </a:r>
        </a:p>
      </xdr:txBody>
    </xdr:sp>
    <xdr:clientData/>
  </xdr:twoCellAnchor>
  <xdr:twoCellAnchor>
    <xdr:from>
      <xdr:col>1</xdr:col>
      <xdr:colOff>881380</xdr:colOff>
      <xdr:row>23</xdr:row>
      <xdr:rowOff>162560</xdr:rowOff>
    </xdr:from>
    <xdr:to>
      <xdr:col>2</xdr:col>
      <xdr:colOff>812800</xdr:colOff>
      <xdr:row>25</xdr:row>
      <xdr:rowOff>86360</xdr:rowOff>
    </xdr:to>
    <xdr:sp macro="AddSambol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42D43F93-B540-1981-16F6-2D27C9A5FC53}"/>
            </a:ext>
          </a:extLst>
        </xdr:cNvPr>
        <xdr:cNvSpPr/>
      </xdr:nvSpPr>
      <xdr:spPr>
        <a:xfrm>
          <a:off x="1041400" y="4216400"/>
          <a:ext cx="914400" cy="304800"/>
        </a:xfrm>
        <a:prstGeom prst="roundRect">
          <a:avLst/>
        </a:prstGeom>
        <a:solidFill>
          <a:srgbClr val="A03F7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Pol Sambol</a:t>
          </a:r>
        </a:p>
      </xdr:txBody>
    </xdr:sp>
    <xdr:clientData/>
  </xdr:twoCellAnchor>
  <xdr:twoCellAnchor>
    <xdr:from>
      <xdr:col>2</xdr:col>
      <xdr:colOff>838200</xdr:colOff>
      <xdr:row>23</xdr:row>
      <xdr:rowOff>162560</xdr:rowOff>
    </xdr:from>
    <xdr:to>
      <xdr:col>3</xdr:col>
      <xdr:colOff>769620</xdr:colOff>
      <xdr:row>25</xdr:row>
      <xdr:rowOff>86360</xdr:rowOff>
    </xdr:to>
    <xdr:sp macro="AddFries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18089491-8C8E-AB14-3979-F9CC0043E82C}"/>
            </a:ext>
          </a:extLst>
        </xdr:cNvPr>
        <xdr:cNvSpPr/>
      </xdr:nvSpPr>
      <xdr:spPr>
        <a:xfrm>
          <a:off x="1981200" y="4216400"/>
          <a:ext cx="914400" cy="304800"/>
        </a:xfrm>
        <a:prstGeom prst="roundRect">
          <a:avLst/>
        </a:prstGeom>
        <a:solidFill>
          <a:srgbClr val="A03F7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French Fries</a:t>
          </a:r>
        </a:p>
      </xdr:txBody>
    </xdr:sp>
    <xdr:clientData/>
  </xdr:twoCellAnchor>
  <xdr:twoCellAnchor>
    <xdr:from>
      <xdr:col>3</xdr:col>
      <xdr:colOff>795020</xdr:colOff>
      <xdr:row>23</xdr:row>
      <xdr:rowOff>162560</xdr:rowOff>
    </xdr:from>
    <xdr:to>
      <xdr:col>4</xdr:col>
      <xdr:colOff>726440</xdr:colOff>
      <xdr:row>25</xdr:row>
      <xdr:rowOff>86360</xdr:rowOff>
    </xdr:to>
    <xdr:sp macro="AddGarlicBread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9F957002-9989-559A-E5FF-6F7242997E19}"/>
            </a:ext>
          </a:extLst>
        </xdr:cNvPr>
        <xdr:cNvSpPr/>
      </xdr:nvSpPr>
      <xdr:spPr>
        <a:xfrm>
          <a:off x="2921000" y="4216400"/>
          <a:ext cx="914400" cy="304800"/>
        </a:xfrm>
        <a:prstGeom prst="roundRect">
          <a:avLst/>
        </a:prstGeom>
        <a:solidFill>
          <a:srgbClr val="A03F7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Garlic Bread</a:t>
          </a:r>
        </a:p>
      </xdr:txBody>
    </xdr:sp>
    <xdr:clientData/>
  </xdr:twoCellAnchor>
  <xdr:twoCellAnchor>
    <xdr:from>
      <xdr:col>0</xdr:col>
      <xdr:colOff>101600</xdr:colOff>
      <xdr:row>28</xdr:row>
      <xdr:rowOff>165100</xdr:rowOff>
    </xdr:from>
    <xdr:to>
      <xdr:col>2</xdr:col>
      <xdr:colOff>838200</xdr:colOff>
      <xdr:row>31</xdr:row>
      <xdr:rowOff>0</xdr:rowOff>
    </xdr:to>
    <xdr:sp macro="SetDiscount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F42C1172-AD56-E026-EA50-C89125E5905B}"/>
            </a:ext>
          </a:extLst>
        </xdr:cNvPr>
        <xdr:cNvSpPr/>
      </xdr:nvSpPr>
      <xdr:spPr>
        <a:xfrm>
          <a:off x="101600" y="5003800"/>
          <a:ext cx="1879600" cy="406400"/>
        </a:xfrm>
        <a:prstGeom prst="roundRect">
          <a:avLst/>
        </a:prstGeom>
        <a:solidFill>
          <a:srgbClr val="0B9EF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111111"/>
              </a:solidFill>
            </a:rPr>
            <a:t>SET DISCOUNT</a:t>
          </a:r>
        </a:p>
      </xdr:txBody>
    </xdr:sp>
    <xdr:clientData/>
  </xdr:twoCellAnchor>
  <xdr:twoCellAnchor>
    <xdr:from>
      <xdr:col>2</xdr:col>
      <xdr:colOff>914400</xdr:colOff>
      <xdr:row>28</xdr:row>
      <xdr:rowOff>165100</xdr:rowOff>
    </xdr:from>
    <xdr:to>
      <xdr:col>4</xdr:col>
      <xdr:colOff>828040</xdr:colOff>
      <xdr:row>31</xdr:row>
      <xdr:rowOff>0</xdr:rowOff>
    </xdr:to>
    <xdr:sp macro="EnterCash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533BDAB0-A80E-C7FE-381E-5F37EC61E8A2}"/>
            </a:ext>
          </a:extLst>
        </xdr:cNvPr>
        <xdr:cNvSpPr/>
      </xdr:nvSpPr>
      <xdr:spPr>
        <a:xfrm>
          <a:off x="2057400" y="5003800"/>
          <a:ext cx="1879600" cy="406400"/>
        </a:xfrm>
        <a:prstGeom prst="roundRect">
          <a:avLst/>
        </a:prstGeom>
        <a:solidFill>
          <a:srgbClr val="4AA3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ENTER CASH</a:t>
          </a:r>
        </a:p>
      </xdr:txBody>
    </xdr:sp>
    <xdr:clientData/>
  </xdr:twoCellAnchor>
  <xdr:twoCellAnchor>
    <xdr:from>
      <xdr:col>0</xdr:col>
      <xdr:colOff>101600</xdr:colOff>
      <xdr:row>31</xdr:row>
      <xdr:rowOff>76200</xdr:rowOff>
    </xdr:from>
    <xdr:to>
      <xdr:col>2</xdr:col>
      <xdr:colOff>838200</xdr:colOff>
      <xdr:row>33</xdr:row>
      <xdr:rowOff>78740</xdr:rowOff>
    </xdr:to>
    <xdr:sp macro="PrintBill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76F29D69-DE35-2386-C909-5B335A44405A}"/>
            </a:ext>
          </a:extLst>
        </xdr:cNvPr>
        <xdr:cNvSpPr/>
      </xdr:nvSpPr>
      <xdr:spPr>
        <a:xfrm>
          <a:off x="101600" y="5486400"/>
          <a:ext cx="1879600" cy="406400"/>
        </a:xfrm>
        <a:prstGeom prst="roundRect">
          <a:avLst/>
        </a:prstGeom>
        <a:solidFill>
          <a:srgbClr val="B2910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PRINT  INVOICE</a:t>
          </a:r>
        </a:p>
      </xdr:txBody>
    </xdr:sp>
    <xdr:clientData/>
  </xdr:twoCellAnchor>
  <xdr:twoCellAnchor>
    <xdr:from>
      <xdr:col>2</xdr:col>
      <xdr:colOff>914400</xdr:colOff>
      <xdr:row>31</xdr:row>
      <xdr:rowOff>76200</xdr:rowOff>
    </xdr:from>
    <xdr:to>
      <xdr:col>4</xdr:col>
      <xdr:colOff>828040</xdr:colOff>
      <xdr:row>33</xdr:row>
      <xdr:rowOff>78740</xdr:rowOff>
    </xdr:to>
    <xdr:sp macro="NewBill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AAB11B2C-3A7A-85DA-8D9F-18E65DD21666}"/>
            </a:ext>
          </a:extLst>
        </xdr:cNvPr>
        <xdr:cNvSpPr/>
      </xdr:nvSpPr>
      <xdr:spPr>
        <a:xfrm>
          <a:off x="2057400" y="5486400"/>
          <a:ext cx="1879600" cy="406400"/>
        </a:xfrm>
        <a:prstGeom prst="roundRect">
          <a:avLst/>
        </a:prstGeom>
        <a:solidFill>
          <a:srgbClr val="D84E1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NEW  CUSTOMER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B6921-42BD-430B-9C02-DD947EA59CA2}">
  <sheetPr codeName="Sheet1"/>
  <dimension ref="B1:J50"/>
  <sheetViews>
    <sheetView showGridLines="0" tabSelected="1" zoomScale="85" zoomScaleNormal="85" workbookViewId="0"/>
  </sheetViews>
  <sheetFormatPr defaultRowHeight="14.4" x14ac:dyDescent="0.3"/>
  <cols>
    <col min="1" max="1" width="2.33203125" style="1" customWidth="1"/>
    <col min="2" max="5" width="14.33203125" style="1" customWidth="1"/>
    <col min="6" max="6" width="2.5546875" style="1" customWidth="1"/>
    <col min="7" max="7" width="24.77734375" style="1" customWidth="1"/>
    <col min="8" max="8" width="6.77734375" style="1" customWidth="1"/>
    <col min="9" max="9" width="12.77734375" style="1" customWidth="1"/>
    <col min="10" max="10" width="13.77734375" style="1" customWidth="1"/>
    <col min="11" max="11" width="2.33203125" style="1" customWidth="1"/>
    <col min="12" max="16384" width="8.88671875" style="1"/>
  </cols>
  <sheetData>
    <row r="1" spans="2:10" ht="22.05" customHeight="1" x14ac:dyDescent="0.35">
      <c r="B1" s="3" t="s">
        <v>0</v>
      </c>
      <c r="C1" s="4"/>
      <c r="D1" s="4"/>
      <c r="E1" s="4"/>
      <c r="F1" s="2"/>
      <c r="G1" s="8" t="s">
        <v>8</v>
      </c>
      <c r="H1" s="9"/>
      <c r="I1" s="9"/>
      <c r="J1" s="9"/>
    </row>
    <row r="2" spans="2:10" ht="13.05" customHeight="1" x14ac:dyDescent="0.3">
      <c r="B2" s="5" t="s">
        <v>1</v>
      </c>
      <c r="C2" s="6"/>
      <c r="D2" s="6"/>
      <c r="E2" s="6"/>
      <c r="F2" s="2"/>
      <c r="G2" s="10" t="s">
        <v>9</v>
      </c>
      <c r="H2" s="9"/>
      <c r="I2" s="9"/>
      <c r="J2" s="9"/>
    </row>
    <row r="3" spans="2:10" ht="3" customHeight="1" x14ac:dyDescent="0.3">
      <c r="F3" s="2"/>
      <c r="G3" s="2"/>
      <c r="H3" s="2"/>
      <c r="I3" s="2"/>
      <c r="J3" s="2"/>
    </row>
    <row r="4" spans="2:10" ht="12" customHeight="1" x14ac:dyDescent="0.3">
      <c r="F4" s="2"/>
      <c r="G4" s="11" t="s">
        <v>10</v>
      </c>
      <c r="H4" s="11" t="s">
        <v>11</v>
      </c>
      <c r="I4" s="11" t="s">
        <v>12</v>
      </c>
      <c r="J4" s="11" t="s">
        <v>13</v>
      </c>
    </row>
    <row r="5" spans="2:10" ht="13.05" customHeight="1" x14ac:dyDescent="0.3">
      <c r="F5" s="2"/>
      <c r="G5" s="12" t="e">
        <f ca="1">GetBillNo()</f>
        <v>#NAME?</v>
      </c>
      <c r="H5" s="12" t="str">
        <f ca="1">TEXT(TODAY(),"DD/MM/YYYY")</f>
        <v>03/03/2026</v>
      </c>
      <c r="I5" s="12" t="str">
        <f ca="1">TEXT(NOW(),"HH:MM AM/PM")</f>
        <v>11:29 PM</v>
      </c>
      <c r="J5" s="12" t="s">
        <v>14</v>
      </c>
    </row>
    <row r="6" spans="2:10" ht="1.95" customHeight="1" x14ac:dyDescent="0.3">
      <c r="B6" s="5" t="s">
        <v>2</v>
      </c>
      <c r="C6" s="6"/>
      <c r="D6" s="6"/>
      <c r="E6" s="6"/>
      <c r="F6" s="2"/>
      <c r="G6" s="13"/>
      <c r="H6" s="13"/>
      <c r="I6" s="13"/>
      <c r="J6" s="13"/>
    </row>
    <row r="7" spans="2:10" ht="16.05" customHeight="1" thickBot="1" x14ac:dyDescent="0.35">
      <c r="F7" s="2"/>
      <c r="G7" s="14" t="s">
        <v>15</v>
      </c>
      <c r="H7" s="14" t="s">
        <v>16</v>
      </c>
      <c r="I7" s="14" t="s">
        <v>17</v>
      </c>
      <c r="J7" s="14" t="s">
        <v>18</v>
      </c>
    </row>
    <row r="8" spans="2:10" ht="15" customHeight="1" x14ac:dyDescent="0.3">
      <c r="F8" s="2"/>
      <c r="G8" s="7"/>
      <c r="H8" s="7"/>
      <c r="I8" s="7"/>
      <c r="J8" s="7"/>
    </row>
    <row r="9" spans="2:10" ht="15" customHeight="1" x14ac:dyDescent="0.3">
      <c r="F9" s="2"/>
      <c r="G9" s="7"/>
      <c r="H9" s="7"/>
      <c r="I9" s="7"/>
      <c r="J9" s="7"/>
    </row>
    <row r="10" spans="2:10" ht="15" customHeight="1" x14ac:dyDescent="0.3">
      <c r="B10" s="5" t="s">
        <v>3</v>
      </c>
      <c r="C10" s="6"/>
      <c r="D10" s="6"/>
      <c r="E10" s="6"/>
      <c r="F10" s="2"/>
      <c r="G10" s="7"/>
      <c r="H10" s="7"/>
      <c r="I10" s="7"/>
      <c r="J10" s="7"/>
    </row>
    <row r="11" spans="2:10" ht="15" customHeight="1" x14ac:dyDescent="0.3">
      <c r="F11" s="2"/>
      <c r="G11" s="7"/>
      <c r="H11" s="7"/>
      <c r="I11" s="7"/>
      <c r="J11" s="7"/>
    </row>
    <row r="12" spans="2:10" ht="15" customHeight="1" x14ac:dyDescent="0.3">
      <c r="F12" s="2"/>
      <c r="G12" s="7"/>
      <c r="H12" s="7"/>
      <c r="I12" s="7"/>
      <c r="J12" s="7"/>
    </row>
    <row r="13" spans="2:10" ht="15" customHeight="1" x14ac:dyDescent="0.3">
      <c r="F13" s="2"/>
      <c r="G13" s="7"/>
      <c r="H13" s="7"/>
      <c r="I13" s="7"/>
      <c r="J13" s="7"/>
    </row>
    <row r="14" spans="2:10" ht="15" customHeight="1" x14ac:dyDescent="0.3">
      <c r="B14" s="5" t="s">
        <v>4</v>
      </c>
      <c r="C14" s="6"/>
      <c r="D14" s="6"/>
      <c r="E14" s="6"/>
      <c r="F14" s="2"/>
      <c r="G14" s="7"/>
      <c r="H14" s="7"/>
      <c r="I14" s="7"/>
      <c r="J14" s="7"/>
    </row>
    <row r="15" spans="2:10" ht="15" customHeight="1" x14ac:dyDescent="0.3">
      <c r="F15" s="2"/>
      <c r="G15" s="7"/>
      <c r="H15" s="7"/>
      <c r="I15" s="7"/>
      <c r="J15" s="7"/>
    </row>
    <row r="16" spans="2:10" ht="15" customHeight="1" x14ac:dyDescent="0.3">
      <c r="F16" s="2"/>
      <c r="G16" s="7"/>
      <c r="H16" s="7"/>
      <c r="I16" s="7"/>
      <c r="J16" s="7"/>
    </row>
    <row r="17" spans="2:10" ht="15" customHeight="1" x14ac:dyDescent="0.3">
      <c r="F17" s="2"/>
      <c r="G17" s="7"/>
      <c r="H17" s="7"/>
      <c r="I17" s="7"/>
      <c r="J17" s="7"/>
    </row>
    <row r="18" spans="2:10" ht="15" customHeight="1" x14ac:dyDescent="0.3">
      <c r="B18" s="5" t="s">
        <v>5</v>
      </c>
      <c r="C18" s="6"/>
      <c r="D18" s="6"/>
      <c r="E18" s="6"/>
      <c r="F18" s="2"/>
      <c r="G18" s="7"/>
      <c r="H18" s="7"/>
      <c r="I18" s="7"/>
      <c r="J18" s="7"/>
    </row>
    <row r="19" spans="2:10" ht="15" customHeight="1" x14ac:dyDescent="0.3">
      <c r="F19" s="2"/>
      <c r="G19" s="7"/>
      <c r="H19" s="7"/>
      <c r="I19" s="7"/>
      <c r="J19" s="7"/>
    </row>
    <row r="20" spans="2:10" ht="15" customHeight="1" x14ac:dyDescent="0.3">
      <c r="F20" s="2"/>
      <c r="G20" s="7"/>
      <c r="H20" s="7"/>
      <c r="I20" s="7"/>
      <c r="J20" s="7"/>
    </row>
    <row r="21" spans="2:10" ht="15" customHeight="1" x14ac:dyDescent="0.3">
      <c r="F21" s="2"/>
      <c r="G21" s="7"/>
      <c r="H21" s="7"/>
      <c r="I21" s="7"/>
      <c r="J21" s="7"/>
    </row>
    <row r="22" spans="2:10" ht="15" customHeight="1" x14ac:dyDescent="0.3">
      <c r="B22" s="5" t="s">
        <v>6</v>
      </c>
      <c r="C22" s="6"/>
      <c r="D22" s="6"/>
      <c r="E22" s="6"/>
      <c r="F22" s="2"/>
      <c r="G22" s="7"/>
      <c r="H22" s="7"/>
      <c r="I22" s="7"/>
      <c r="J22" s="7"/>
    </row>
    <row r="23" spans="2:10" ht="15" customHeight="1" x14ac:dyDescent="0.3">
      <c r="F23" s="2"/>
      <c r="G23" s="7"/>
      <c r="H23" s="7"/>
      <c r="I23" s="7"/>
      <c r="J23" s="7"/>
    </row>
    <row r="24" spans="2:10" ht="15" customHeight="1" x14ac:dyDescent="0.3">
      <c r="F24" s="2"/>
      <c r="G24" s="7"/>
      <c r="H24" s="7"/>
      <c r="I24" s="7"/>
      <c r="J24" s="7"/>
    </row>
    <row r="25" spans="2:10" ht="15" customHeight="1" x14ac:dyDescent="0.3">
      <c r="F25" s="2"/>
      <c r="G25" s="7"/>
      <c r="H25" s="7"/>
      <c r="I25" s="7"/>
      <c r="J25" s="7"/>
    </row>
    <row r="26" spans="2:10" ht="15" customHeight="1" x14ac:dyDescent="0.3">
      <c r="B26" s="5" t="s">
        <v>7</v>
      </c>
      <c r="C26" s="6"/>
      <c r="D26" s="6"/>
      <c r="E26" s="6"/>
      <c r="F26" s="2"/>
      <c r="G26" s="7"/>
      <c r="H26" s="7"/>
      <c r="I26" s="7"/>
      <c r="J26" s="7"/>
    </row>
    <row r="27" spans="2:10" ht="15" customHeight="1" x14ac:dyDescent="0.3">
      <c r="F27" s="2"/>
      <c r="G27" s="7"/>
      <c r="H27" s="7"/>
      <c r="I27" s="7"/>
      <c r="J27" s="7"/>
    </row>
    <row r="28" spans="2:10" ht="1.95" customHeight="1" x14ac:dyDescent="0.3">
      <c r="F28" s="2"/>
      <c r="G28" s="13"/>
      <c r="H28" s="13"/>
      <c r="I28" s="13"/>
      <c r="J28" s="13"/>
    </row>
    <row r="29" spans="2:10" ht="15" customHeight="1" x14ac:dyDescent="0.3">
      <c r="F29" s="2"/>
      <c r="G29" s="7"/>
      <c r="H29" s="7"/>
      <c r="I29" s="17" t="s">
        <v>19</v>
      </c>
      <c r="J29" s="18">
        <f>SUM(J8:J27)</f>
        <v>0</v>
      </c>
    </row>
    <row r="30" spans="2:10" ht="15" customHeight="1" x14ac:dyDescent="0.3">
      <c r="F30" s="2"/>
      <c r="G30" s="15" t="s">
        <v>20</v>
      </c>
      <c r="H30" s="16"/>
      <c r="I30" s="17" t="s">
        <v>21</v>
      </c>
      <c r="J30" s="18">
        <f>J29*(H30/100)</f>
        <v>0</v>
      </c>
    </row>
    <row r="31" spans="2:10" ht="15" customHeight="1" x14ac:dyDescent="0.3">
      <c r="F31" s="2"/>
      <c r="G31" s="7"/>
      <c r="H31" s="7"/>
      <c r="I31" s="17" t="s">
        <v>22</v>
      </c>
      <c r="J31" s="18">
        <f>J29*0.1</f>
        <v>0</v>
      </c>
    </row>
    <row r="32" spans="2:10" ht="16.95" customHeight="1" x14ac:dyDescent="0.3">
      <c r="F32" s="2"/>
      <c r="I32" s="19" t="s">
        <v>23</v>
      </c>
      <c r="J32" s="20">
        <f>J29-J30+J31</f>
        <v>0</v>
      </c>
    </row>
    <row r="33" spans="6:10" ht="15" customHeight="1" x14ac:dyDescent="0.3">
      <c r="F33" s="2"/>
      <c r="G33" s="7"/>
      <c r="H33" s="7"/>
      <c r="I33" s="17" t="s">
        <v>24</v>
      </c>
      <c r="J33" s="21">
        <v>0</v>
      </c>
    </row>
    <row r="34" spans="6:10" ht="15" customHeight="1" x14ac:dyDescent="0.3">
      <c r="F34" s="2"/>
      <c r="G34" s="7"/>
      <c r="H34" s="7"/>
      <c r="I34" s="17" t="s">
        <v>25</v>
      </c>
      <c r="J34" s="22">
        <f>J33-J32</f>
        <v>0</v>
      </c>
    </row>
    <row r="35" spans="6:10" ht="3" customHeight="1" x14ac:dyDescent="0.3">
      <c r="F35" s="2"/>
      <c r="G35" s="2"/>
      <c r="H35" s="2"/>
      <c r="I35" s="2"/>
      <c r="J35" s="2"/>
    </row>
    <row r="36" spans="6:10" ht="13.05" customHeight="1" x14ac:dyDescent="0.3">
      <c r="F36" s="2"/>
      <c r="G36" s="23" t="s">
        <v>26</v>
      </c>
      <c r="H36" s="9"/>
      <c r="I36" s="9"/>
      <c r="J36" s="9"/>
    </row>
    <row r="37" spans="6:10" ht="16.05" customHeight="1" x14ac:dyDescent="0.3">
      <c r="F37" s="2"/>
      <c r="G37" s="7"/>
      <c r="H37" s="7"/>
      <c r="I37" s="7"/>
      <c r="J37" s="7"/>
    </row>
    <row r="38" spans="6:10" ht="16.05" customHeight="1" x14ac:dyDescent="0.3">
      <c r="F38" s="2"/>
      <c r="G38" s="7"/>
      <c r="H38" s="7"/>
      <c r="I38" s="7"/>
      <c r="J38" s="7"/>
    </row>
    <row r="39" spans="6:10" ht="16.05" customHeight="1" x14ac:dyDescent="0.3">
      <c r="F39" s="2"/>
      <c r="G39" s="7"/>
      <c r="H39" s="7"/>
      <c r="I39" s="7"/>
      <c r="J39" s="7"/>
    </row>
    <row r="40" spans="6:10" ht="16.05" customHeight="1" x14ac:dyDescent="0.3">
      <c r="F40" s="2"/>
    </row>
    <row r="41" spans="6:10" ht="16.05" customHeight="1" x14ac:dyDescent="0.3">
      <c r="F41" s="2"/>
    </row>
    <row r="42" spans="6:10" ht="16.05" customHeight="1" x14ac:dyDescent="0.3">
      <c r="F42" s="2"/>
    </row>
    <row r="43" spans="6:10" ht="16.05" customHeight="1" x14ac:dyDescent="0.3">
      <c r="F43" s="2"/>
    </row>
    <row r="44" spans="6:10" ht="16.05" customHeight="1" x14ac:dyDescent="0.3">
      <c r="F44" s="2"/>
    </row>
    <row r="45" spans="6:10" ht="16.05" customHeight="1" x14ac:dyDescent="0.3">
      <c r="F45" s="2"/>
    </row>
    <row r="46" spans="6:10" ht="16.05" customHeight="1" x14ac:dyDescent="0.3">
      <c r="F46" s="2"/>
    </row>
    <row r="47" spans="6:10" ht="16.05" customHeight="1" x14ac:dyDescent="0.3">
      <c r="F47" s="2"/>
    </row>
    <row r="48" spans="6:10" ht="16.05" customHeight="1" x14ac:dyDescent="0.3">
      <c r="F48" s="2"/>
    </row>
    <row r="49" spans="6:6" ht="16.05" customHeight="1" x14ac:dyDescent="0.3">
      <c r="F49" s="2"/>
    </row>
    <row r="50" spans="6:6" ht="16.05" customHeight="1" x14ac:dyDescent="0.3">
      <c r="F50" s="2"/>
    </row>
  </sheetData>
  <mergeCells count="12">
    <mergeCell ref="B22:E22"/>
    <mergeCell ref="B26:E26"/>
    <mergeCell ref="G1:J1"/>
    <mergeCell ref="G2:J2"/>
    <mergeCell ref="G30:H30"/>
    <mergeCell ref="G36:J36"/>
    <mergeCell ref="B1:E1"/>
    <mergeCell ref="B2:E2"/>
    <mergeCell ref="B6:E6"/>
    <mergeCell ref="B10:E10"/>
    <mergeCell ref="B14:E14"/>
    <mergeCell ref="B18:E1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Janma Hasarel</dc:creator>
  <cp:lastModifiedBy>Janma Hasarel</cp:lastModifiedBy>
  <dcterms:created xsi:type="dcterms:W3CDTF">2026-03-03T17:59:15Z</dcterms:created>
  <dcterms:modified xsi:type="dcterms:W3CDTF">2026-03-03T17:59:36Z</dcterms:modified>
</cp:coreProperties>
</file>